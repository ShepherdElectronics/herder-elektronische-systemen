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ea7522bee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2" r:id="Raff3dbc7c7a94172"/>
    <x:sheet xmlns:r="http://schemas.openxmlformats.org/officeDocument/2006/relationships" name="VSEN_Calculations" sheetId="3" r:id="Rc4bf871145ef424c"/>
    <x:sheet xmlns:r="http://schemas.openxmlformats.org/officeDocument/2006/relationships" name="Scope_Setup" sheetId="4" r:id="R32aed7858de745a0"/>
    <x:sheet xmlns:r="http://schemas.openxmlformats.org/officeDocument/2006/relationships" name="Victor_Test_Log" sheetId="5" r:id="Rd5672ca05ccc473f"/>
    <x:sheet xmlns:r="http://schemas.openxmlformats.org/officeDocument/2006/relationships" name="Regen_Decision_Matrix" sheetId="6" r:id="R2d65e7ebae724fb4"/>
    <x:sheet xmlns:r="http://schemas.openxmlformats.org/officeDocument/2006/relationships" name="Hardware_Notes" sheetId="7" r:id="R23cf851f9139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.0"/>
    <x:numFmt numFmtId="202" formatCode="0.000"/>
    <x:numFmt numFmtId="203" formatCode="0.0%"/>
    <x:numFmt numFmtId="204" formatCode="yyyy-mm-dd"/>
    <x:numFmt numFmtId="205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DC2626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<Relationships xmlns="http://schemas.openxmlformats.org/package/2006/relationships"><Relationship Type="http://schemas.openxmlformats.org/officeDocument/2006/relationships/styles" Target="/xl/styles.xml" Id="R83a3d10ba2e14aed" /><Relationship Type="http://schemas.openxmlformats.org/officeDocument/2006/relationships/theme" Target="/xl/theme/theme1.xml" Id="R255221c3d8b84080" /><Relationship Type="http://schemas.openxmlformats.org/officeDocument/2006/relationships/sharedStrings" Target="/xl/sharedStrings.xml" Id="Rad2a9d7ea4774554" /><Relationship Type="http://schemas.openxmlformats.org/officeDocument/2006/relationships/worksheet" Target="/xl/worksheets/sheet2.xml" Id="Raff3dbc7c7a94172" /><Relationship Type="http://schemas.openxmlformats.org/officeDocument/2006/relationships/worksheet" Target="/xl/worksheets/sheet3.xml" Id="Rc4bf871145ef424c" /><Relationship Type="http://schemas.openxmlformats.org/officeDocument/2006/relationships/worksheet" Target="/xl/worksheets/sheet4.xml" Id="R32aed7858de745a0" /><Relationship Type="http://schemas.openxmlformats.org/officeDocument/2006/relationships/worksheet" Target="/xl/worksheets/sheet5.xml" Id="Rd5672ca05ccc473f" /><Relationship Type="http://schemas.openxmlformats.org/officeDocument/2006/relationships/worksheet" Target="/xl/worksheets/sheet6.xml" Id="R2d65e7ebae724fb4" /><Relationship Type="http://schemas.openxmlformats.org/officeDocument/2006/relationships/worksheet" Target="/xl/worksheets/sheet7.xml" Id="R23cf851f91394e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1b2d6dcef84d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Expected VSEN vs Phase-to-GND Voltage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Expected VSEN (V)</c:v>
          </c:tx>
          <c:cat>
            <c:strRef>
              <c:f>'VSEN_Calculations'!$A$21:$A$33</c:f>
              <c:strCache>
                <c:ptCount val="0"/>
              </c:strCache>
            </c:strRef>
          </c:cat>
          <c:val>
            <c:numRef>
              <c:f>'VSEN_Calculations'!$B$21:$B$33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1b2d6dcef84d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ec9eea0acb34452" /></Relationships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62" hidden="0" customWidth="1"/>
    <x:col min="4" max="4" width="42" hidden="0" customWidth="1"/>
  </x:cols>
  <x:sheetData>
    <x:row r="1" ht="28" customHeight="1">
      <x:c r="A1" s="84" t="str">
        <x:v>Dashboard - What Matters Right Now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31"/>
      <x:c r="L1" s="31"/>
      <x:c r="M1" s="31"/>
      <x:c r="N1" s="31"/>
      <x:c r="O1" s="31"/>
    </x:row>
    <x:row r="2" ht="24" customHeight="1">
      <x:c r="A2" s="85" t="str">
        <x:v>Use this as the one-page summary after measurements come back.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90" t="str">
        <x:v>Topic</x:v>
      </x:c>
      <x:c r="B4" s="90" t="str">
        <x:v>Current Answer</x:v>
      </x:c>
      <x:c r="C4" s="90" t="str">
        <x:v>Reason / Evidence</x:v>
      </x:c>
      <x:c r="D4" s="90" t="str">
        <x:v>Action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45" t="str">
        <x:v>VSEN topology</x:v>
      </x:c>
      <x:c r="B5" s="31" t="str">
        <x:v>Single-ended phase-to-GND, not phase-to-phase.</x:v>
      </x:c>
      <x:c r="C5" s="31" t="str">
        <x:v>Each phase has its own divider/filter to GND: MOT_A/B/C -&gt; 62.0k -&gt; VSEN node -&gt; 4.99k to GND + 0.1uF to GND.</x:v>
      </x:c>
      <x:c r="D5" s="31" t="str">
        <x:v>Calculate one phase at a time relative to GND.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45" t="str">
        <x:v>Expected VSEN at 24 V bus</x:v>
      </x:c>
      <x:c r="B6" s="31" t="str">
        <x:v>0 to about 1.79 V per phase sense line.</x:v>
      </x:c>
      <x:c r="C6" s="31" t="str">
        <x:v>Divider ratio = 4.99k / (62.0k + 4.99k) = 0.07449.</x:v>
      </x:c>
      <x:c r="D6" s="31" t="str">
        <x:v>Scope VSEN_A/B/C to GND if testing sense outputs.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45" t="str">
        <x:v>RC filter</x:v>
      </x:c>
      <x:c r="B7" s="31" t="str">
        <x:v>Acts as a strong low-pass filter near 344 Hz.</x:v>
      </x:c>
      <x:c r="C7" s="31" t="str">
        <x:v>Thevenin resistance about 4.62k; C = 0.1uF; tau about 462us.</x:v>
      </x:c>
      <x:c r="D7" s="31" t="str">
        <x:v>Do not expect sharp PWM edges on VSEN.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45" t="str">
        <x:v>Protection device</x:v>
      </x:c>
      <x:c r="B8" s="31" t="str">
        <x:v>D2 = NUP4201MR6T1G, 5 V TVS/ESD clamp array.</x:v>
      </x:c>
      <x:c r="C8" s="31" t="str">
        <x:v>BOM lists D2 as a 5 V transient voltage suppressor, TSOP-6.</x:v>
      </x:c>
      <x:c r="D8" s="31" t="str">
        <x:v>Treat it as signal protection only.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45" t="str">
        <x:v>Regen issue</x:v>
      </x:c>
      <x:c r="B9" s="31" t="str">
        <x:v>Still unresolved until measured.</x:v>
      </x:c>
      <x:c r="C9" s="31" t="str">
        <x:v>Sense clamps do not absorb motor braking/regeneration energy.</x:v>
      </x:c>
      <x:c r="D9" s="31" t="str">
        <x:v>Scope/log DC bus during Lab 1 first.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45" t="str">
        <x:v>Victor test</x:v>
      </x:c>
      <x:c r="B10" s="31" t="str">
        <x:v>Run Lab 1 first; Lab 3 only if ready.</x:v>
      </x:c>
      <x:c r="C10" s="31" t="str">
        <x:v>Need Vbus waveform, max, RMS, and notes during load changes.</x:v>
      </x:c>
      <x:c r="D10" s="31" t="str">
        <x:v>Save screenshots and fill Victor Test Log.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45" t="str">
        <x:v>Six-station path</x:v>
      </x:c>
      <x:c r="B11" s="31" t="str">
        <x:v>Conservative software limits first; hardware dump only if needed.</x:v>
      </x:c>
      <x:c r="C11" s="31" t="str">
        <x:v>Blocking diode protects PSU but does not remove energy. Brake chopper/resistor removes energy.</x:v>
      </x:c>
      <x:c r="D11" s="31" t="str">
        <x:v>Decide after one or two station measurements.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25" hidden="0" customWidth="1"/>
    <x:col min="4" max="4" width="24" hidden="0" customWidth="1"/>
    <x:col min="5" max="5" width="45" hidden="0" customWidth="1"/>
    <x:col min="7" max="7" width="26" hidden="0" customWidth="1"/>
    <x:col min="8" max="8" width="68" hidden="0" customWidth="1"/>
  </x:cols>
  <x:sheetData>
    <x:row r="1" ht="28" customHeight="1">
      <x:c r="A1" s="84" t="str">
        <x:v>BOOSTXL Phase Sense Network Calculations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31"/>
      <x:c r="L1" s="31"/>
      <x:c r="M1" s="31"/>
      <x:c r="N1" s="31"/>
      <x:c r="O1" s="31"/>
    </x:row>
    <x:row r="2" ht="24" customHeight="1">
      <x:c r="A2" s="85" t="str">
        <x:v>Each VSEN line is a phase-to-GND sense node, not a phase-to-phase measurement.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86" t="str">
        <x:v>Parameter</x:v>
      </x:c>
      <x:c r="B4" s="86" t="str">
        <x:v>Value</x:v>
      </x:c>
      <x:c r="C4" s="86" t="str">
        <x:v>Unit</x:v>
      </x:c>
      <x:c r="D4" s="86" t="str">
        <x:v>Notes</x:v>
      </x:c>
      <x:c r="E4" s="31"/>
      <x:c r="F4" s="31"/>
      <x:c r="G4" s="92" t="str">
        <x:v>Warning / interpretation</x:v>
      </x:c>
      <x:c r="H4" s="92" t="str">
        <x:v>Detailed note</x:v>
      </x:c>
      <x:c r="I4" s="31"/>
      <x:c r="J4" s="31"/>
      <x:c r="K4" s="31"/>
      <x:c r="L4" s="31"/>
      <x:c r="M4" s="31"/>
      <x:c r="N4" s="31"/>
      <x:c r="O4" s="31"/>
    </x:row>
    <x:row r="5">
      <x:c r="A5" s="31" t="str">
        <x:v>R_high</x:v>
      </x:c>
      <x:c r="B5" s="48" t="n">
        <x:v>62000</x:v>
      </x:c>
      <x:c r="C5" s="31" t="str">
        <x:v>ohm</x:v>
      </x:c>
      <x:c r="D5" s="31" t="str">
        <x:v>Schematic: 62.0k from MOT_A/B/C phase node to VSEN_A/B/C.</x:v>
      </x:c>
      <x:c r="E5" s="31"/>
      <x:c r="F5" s="31"/>
      <x:c r="G5" s="67" t="str">
        <x:v>Not phase-to-phase</x:v>
      </x:c>
      <x:c r="H5" s="31" t="str">
        <x:v>Do not double the expected reading for a single VSEN pin. VSEN_A, VSEN_B, and VSEN_C are individual phase-to-GND sense lines.</x:v>
      </x:c>
      <x:c r="I5" s="31"/>
      <x:c r="J5" s="31"/>
      <x:c r="K5" s="31"/>
      <x:c r="L5" s="31"/>
      <x:c r="M5" s="31"/>
      <x:c r="N5" s="31"/>
      <x:c r="O5" s="31"/>
    </x:row>
    <x:row r="6">
      <x:c r="A6" s="31" t="str">
        <x:v>R_low</x:v>
      </x:c>
      <x:c r="B6" s="48" t="n">
        <x:v>4990</x:v>
      </x:c>
      <x:c r="C6" s="31" t="str">
        <x:v>ohm</x:v>
      </x:c>
      <x:c r="D6" s="31" t="str">
        <x:v>Schematic: 4.99k from VSEN node to GND.</x:v>
      </x:c>
      <x:c r="E6" s="31"/>
      <x:c r="F6" s="31"/>
      <x:c r="G6" s="67" t="str">
        <x:v>Not a regen clamp</x:v>
      </x:c>
      <x:c r="H6" s="31" t="str">
        <x:v>The TVS/ESD device protects the low-voltage electronics. It is not a brake resistor and does not remove regenerated bus energy.</x:v>
      </x:c>
      <x:c r="I6" s="31"/>
      <x:c r="J6" s="31"/>
      <x:c r="K6" s="31"/>
      <x:c r="L6" s="31"/>
      <x:c r="M6" s="31"/>
      <x:c r="N6" s="31"/>
      <x:c r="O6" s="31"/>
    </x:row>
    <x:row r="7">
      <x:c r="A7" s="31" t="str">
        <x:v>C_filter</x:v>
      </x:c>
      <x:c r="B7" s="48" t="n">
        <x:v>1e-7</x:v>
      </x:c>
      <x:c r="C7" s="31" t="str">
        <x:v>F</x:v>
      </x:c>
      <x:c r="D7" s="31" t="str">
        <x:v>Schematic: 0.1uF from VSEN node to GND.</x:v>
      </x:c>
      <x:c r="E7" s="31"/>
      <x:c r="F7" s="31"/>
      <x:c r="G7" s="67" t="str">
        <x:v>Filter means averaged waveform</x:v>
      </x:c>
      <x:c r="H7" s="31" t="str">
        <x:v>Because the RC cutoff is roughly 344 Hz, VSEN may look like a filtered average of PWM phase switching rather than a crisp gate/PWM waveform.</x:v>
      </x:c>
      <x:c r="I7" s="31"/>
      <x:c r="J7" s="31"/>
      <x:c r="K7" s="31"/>
      <x:c r="L7" s="31"/>
      <x:c r="M7" s="31"/>
      <x:c r="N7" s="31"/>
      <x:c r="O7" s="31"/>
    </x:row>
    <x:row r="8">
      <x:c r="A8" s="31" t="str">
        <x:v>Nominal DC bus</x:v>
      </x:c>
      <x:c r="B8" s="48" t="n">
        <x:v>24</x:v>
      </x:c>
      <x:c r="C8" s="31" t="str">
        <x:v>V</x:v>
      </x:c>
      <x:c r="D8" s="31" t="str">
        <x:v>Dyno station supply nominal.</x:v>
      </x:c>
      <x:c r="E8" s="31"/>
      <x:c r="F8" s="31"/>
      <x:c r="G8" s="67" t="str">
        <x:v>Maximum normal per-phase reading</x:v>
      </x:c>
      <x:c r="H8" s="31" t="str">
        <x:v>For a 24 V bus, a high phase node should scale to about 1.79 V. Significantly higher readings suggest bus rise, overshoot, probe reference error, or wrong test point.</x:v>
      </x:c>
      <x:c r="I8" s="31"/>
      <x:c r="J8" s="31"/>
      <x:c r="K8" s="31"/>
      <x:c r="L8" s="31"/>
      <x:c r="M8" s="31"/>
      <x:c r="N8" s="31"/>
      <x:c r="O8" s="31"/>
    </x:row>
    <x:row r="9">
      <x:c r="A9" s="31" t="str">
        <x:v>TVS clamp device</x:v>
      </x:c>
      <x:c r="B9" s="31" t="str">
        <x:v>D2 / NUP4201MR6T1G</x:v>
      </x:c>
      <x:c r="C9" s="31" t="str"/>
      <x:c r="D9" s="31" t="str">
        <x:v>5 V transient voltage suppressor / ESD clamp array on low-voltage sense/control side.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90" t="str">
        <x:v>Derived quantity</x:v>
      </x:c>
      <x:c r="B11" s="90" t="str">
        <x:v>Excel formula</x:v>
      </x:c>
      <x:c r="C11" s="90" t="str">
        <x:v>Calculated value</x:v>
      </x:c>
      <x:c r="D11" s="90" t="str">
        <x:v>Unit</x:v>
      </x:c>
      <x:c r="E11" s="90" t="str">
        <x:v>Interpretation</x:v>
      </x:c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 t="str">
        <x:v>Divider ratio</x:v>
      </x:c>
      <x:c r="B12" s="31" t="str">
        <x:v>=B6/(B5+B6)</x:v>
      </x:c>
      <x:c r="C12" s="48" t="n">
        <x:f>B6/(B5+B6)</x:f>
        <x:v>0.07448872966114345</x:v>
      </x:c>
      <x:c r="D12" s="31" t="str">
        <x:v>V/V</x:v>
      </x:c>
      <x:c r="E12" s="31" t="str">
        <x:v>Multiply phase-to-GND voltage by this to get VSEN voltage.</x:v>
      </x:c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 t="str">
        <x:v>Thevenin resistance</x:v>
      </x:c>
      <x:c r="B13" s="31" t="str">
        <x:v>=(B5*B6)/(B5+B6)</x:v>
      </x:c>
      <x:c r="C13" s="48" t="n">
        <x:f>(B5*B6)/(B5+B6)</x:f>
        <x:v>4618.3012389908945</x:v>
      </x:c>
      <x:c r="D13" s="31" t="str">
        <x:v>ohm</x:v>
      </x:c>
      <x:c r="E13" s="31" t="str">
        <x:v>Equivalent resistance seen by the filter capacitor.</x:v>
      </x:c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 t="str">
        <x:v>RC time constant</x:v>
      </x:c>
      <x:c r="B14" s="31" t="str">
        <x:v>=C13*B7</x:v>
      </x:c>
      <x:c r="C14" s="48" t="n">
        <x:f>C13*B7</x:f>
        <x:v>0.00046183012389908944</x:v>
      </x:c>
      <x:c r="D14" s="31" t="str">
        <x:v>s</x:v>
      </x:c>
      <x:c r="E14" s="31" t="str">
        <x:v>Approximate first-order low-pass time constant.</x:v>
      </x:c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 t="str">
        <x:v>Filter cutoff</x:v>
      </x:c>
      <x:c r="B15" s="31" t="str">
        <x:v>=1/(2*PI()*C14)</x:v>
      </x:c>
      <x:c r="C15" s="48" t="n">
        <x:f>1/(2*PI()*C14)</x:f>
        <x:v>344.61793385888126</x:v>
      </x:c>
      <x:c r="D15" s="31" t="str">
        <x:v>Hz</x:v>
      </x:c>
      <x:c r="E15" s="31" t="str">
        <x:v>Approximate -3 dB cutoff of VSEN filter.</x:v>
      </x:c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 t="str">
        <x:v>VSEN at 24 V</x:v>
      </x:c>
      <x:c r="B16" s="31" t="str">
        <x:v>=B8*C12</x:v>
      </x:c>
      <x:c r="C16" s="48" t="n">
        <x:f>B8*C12</x:f>
        <x:v>1.7877295118674428</x:v>
      </x:c>
      <x:c r="D16" s="31" t="str">
        <x:v>V</x:v>
      </x:c>
      <x:c r="E16" s="31" t="str">
        <x:v>Expected per-phase sense level when phase node is high at 24 V to GND.</x:v>
      </x:c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90" t="str">
        <x:v>Phase node Vphase-to-GND (V)</x:v>
      </x:c>
      <x:c r="B20" s="90" t="str">
        <x:v>Expected VSEN (V)</x:v>
      </x:c>
      <x:c r="C20" s="90" t="str">
        <x:v>Percent of 3.3 V ADC full-scale</x:v>
      </x:c>
      <x:c r="D20" s="90" t="str">
        <x:v>Percent of 5 V TVS nominal</x:v>
      </x:c>
      <x:c r="E20" s="90" t="str">
        <x:v>Meaning</x:v>
      </x:c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50" t="n">
        <x:v>0</x:v>
      </x:c>
      <x:c r="B21" s="52" t="n">
        <x:f>A21*$C$12</x:f>
        <x:v>0</x:v>
      </x:c>
      <x:c r="C21" s="54" t="n">
        <x:f>B21/3.3</x:f>
        <x:v>0</x:v>
      </x:c>
      <x:c r="D21" s="54" t="n">
        <x:f>B21/5</x:f>
        <x:v>0</x:v>
      </x:c>
      <x:c r="E21" s="31" t="str">
        <x:v>Per single-ended VSEN node referenced to GND</x:v>
      </x:c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50" t="n">
        <x:v>6</x:v>
      </x:c>
      <x:c r="B22" s="52" t="n">
        <x:f>A22*$C$12</x:f>
        <x:v>0.4469323779668607</x:v>
      </x:c>
      <x:c r="C22" s="54" t="n">
        <x:f>B22/3.3</x:f>
        <x:v>0.13543405392935173</x:v>
      </x:c>
      <x:c r="D22" s="54" t="n">
        <x:f>B22/5</x:f>
        <x:v>0.08938647559337214</x:v>
      </x:c>
      <x:c r="E22" s="31" t="str">
        <x:v>Per single-ended VSEN node referenced to GND</x:v>
      </x:c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50" t="n">
        <x:v>12</x:v>
      </x:c>
      <x:c r="B23" s="52" t="n">
        <x:f>A23*$C$12</x:f>
        <x:v>0.8938647559337214</x:v>
      </x:c>
      <x:c r="C23" s="54" t="n">
        <x:f>B23/3.3</x:f>
        <x:v>0.27086810785870347</x:v>
      </x:c>
      <x:c r="D23" s="54" t="n">
        <x:f>B23/5</x:f>
        <x:v>0.17877295118674427</x:v>
      </x:c>
      <x:c r="E23" s="31" t="str">
        <x:v>Per single-ended VSEN node referenced to GND</x:v>
      </x:c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50" t="n">
        <x:v>18</x:v>
      </x:c>
      <x:c r="B24" s="52" t="n">
        <x:f>A24*$C$12</x:f>
        <x:v>1.340797133900582</x:v>
      </x:c>
      <x:c r="C24" s="54" t="n">
        <x:f>B24/3.3</x:f>
        <x:v>0.40630216178805517</x:v>
      </x:c>
      <x:c r="D24" s="54" t="n">
        <x:f>B24/5</x:f>
        <x:v>0.2681594267801164</x:v>
      </x:c>
      <x:c r="E24" s="31" t="str">
        <x:v>Per single-ended VSEN node referenced to GND</x:v>
      </x:c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50" t="n">
        <x:v>24</x:v>
      </x:c>
      <x:c r="B25" s="52" t="n">
        <x:f>A25*$C$12</x:f>
        <x:v>1.7877295118674428</x:v>
      </x:c>
      <x:c r="C25" s="54" t="n">
        <x:f>B25/3.3</x:f>
        <x:v>0.5417362157174069</x:v>
      </x:c>
      <x:c r="D25" s="54" t="n">
        <x:f>B25/5</x:f>
        <x:v>0.35754590237348854</x:v>
      </x:c>
      <x:c r="E25" s="31" t="str">
        <x:v>Per single-ended VSEN node referenced to GND</x:v>
      </x:c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50" t="n">
        <x:v>26</x:v>
      </x:c>
      <x:c r="B26" s="52" t="n">
        <x:f>A26*$C$12</x:f>
        <x:v>1.9367069711897296</x:v>
      </x:c>
      <x:c r="C26" s="54" t="n">
        <x:f>B26/3.3</x:f>
        <x:v>0.5868809003605241</x:v>
      </x:c>
      <x:c r="D26" s="54" t="n">
        <x:f>B26/5</x:f>
        <x:v>0.3873413942379459</x:v>
      </x:c>
      <x:c r="E26" s="31" t="str">
        <x:v>Per single-ended VSEN node referenced to GND</x:v>
      </x:c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50" t="n">
        <x:v>28</x:v>
      </x:c>
      <x:c r="B27" s="52" t="n">
        <x:f>A27*$C$12</x:f>
        <x:v>2.085684430512017</x:v>
      </x:c>
      <x:c r="C27" s="54" t="n">
        <x:f>B27/3.3</x:f>
        <x:v>0.6320255850036415</x:v>
      </x:c>
      <x:c r="D27" s="54" t="n">
        <x:f>B27/5</x:f>
        <x:v>0.41713688610240335</x:v>
      </x:c>
      <x:c r="E27" s="31" t="str">
        <x:v>Per single-ended VSEN node referenced to GND</x:v>
      </x:c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50" t="n">
        <x:v>30</x:v>
      </x:c>
      <x:c r="B28" s="52" t="n">
        <x:f>A28*$C$12</x:f>
        <x:v>2.2346618898343036</x:v>
      </x:c>
      <x:c r="C28" s="54" t="n">
        <x:f>B28/3.3</x:f>
        <x:v>0.6771702696467587</x:v>
      </x:c>
      <x:c r="D28" s="54" t="n">
        <x:f>B28/5</x:f>
        <x:v>0.4469323779668607</x:v>
      </x:c>
      <x:c r="E28" s="31" t="str">
        <x:v>Per single-ended VSEN node referenced to GND</x:v>
      </x:c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50" t="n">
        <x:v>32</x:v>
      </x:c>
      <x:c r="B29" s="52" t="n">
        <x:f>A29*$C$12</x:f>
        <x:v>2.3836393491565904</x:v>
      </x:c>
      <x:c r="C29" s="54" t="n">
        <x:f>B29/3.3</x:f>
        <x:v>0.7223149542898759</x:v>
      </x:c>
      <x:c r="D29" s="54" t="n">
        <x:f>B29/5</x:f>
        <x:v>0.4767278698313181</x:v>
      </x:c>
      <x:c r="E29" s="31" t="str">
        <x:v>Per single-ended VSEN node referenced to GND</x:v>
      </x:c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50" t="n">
        <x:v>36</x:v>
      </x:c>
      <x:c r="B30" s="52" t="n">
        <x:f>A30*$C$12</x:f>
        <x:v>2.681594267801164</x:v>
      </x:c>
      <x:c r="C30" s="54" t="n">
        <x:f>B30/3.3</x:f>
        <x:v>0.8126043235761103</x:v>
      </x:c>
      <x:c r="D30" s="54" t="n">
        <x:f>B30/5</x:f>
        <x:v>0.5363188535602328</x:v>
      </x:c>
      <x:c r="E30" s="31" t="str">
        <x:v>Per single-ended VSEN node referenced to GND</x:v>
      </x:c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50" t="n">
        <x:v>40</x:v>
      </x:c>
      <x:c r="B31" s="52" t="n">
        <x:f>A31*$C$12</x:f>
        <x:v>2.979549186445738</x:v>
      </x:c>
      <x:c r="C31" s="54" t="n">
        <x:f>B31/3.3</x:f>
        <x:v>0.9028936928623449</x:v>
      </x:c>
      <x:c r="D31" s="54" t="n">
        <x:f>B31/5</x:f>
        <x:v>0.5959098372891476</x:v>
      </x:c>
      <x:c r="E31" s="31" t="str">
        <x:v>Per single-ended VSEN node referenced to GND</x:v>
      </x:c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50" t="n">
        <x:v>48</x:v>
      </x:c>
      <x:c r="B32" s="52" t="n">
        <x:f>A32*$C$12</x:f>
        <x:v>3.5754590237348856</x:v>
      </x:c>
      <x:c r="C32" s="54" t="n">
        <x:f>B32/3.3</x:f>
        <x:v>1.0834724314348139</x:v>
      </x:c>
      <x:c r="D32" s="54" t="n">
        <x:f>B32/5</x:f>
        <x:v>0.7150918047469771</x:v>
      </x:c>
      <x:c r="E32" s="31" t="str">
        <x:v>Per single-ended VSEN node referenced to GND</x:v>
      </x:c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ec9eea0acb34452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38" hidden="0" customWidth="1"/>
    <x:col min="5" max="5" width="30" hidden="0" customWidth="1"/>
    <x:col min="6" max="6" width="34" hidden="0" customWidth="1"/>
    <x:col min="7" max="7" width="66" hidden="0" customWidth="1"/>
  </x:cols>
  <x:sheetData>
    <x:row r="1" ht="28" customHeight="1">
      <x:c r="A1" s="84" t="str">
        <x:v>Scope Setup and Safe Measurement Plan</x:v>
      </x:c>
      <x:c r="B1" s="84"/>
      <x:c r="C1" s="84"/>
      <x:c r="D1" s="84"/>
      <x:c r="E1" s="84"/>
      <x:c r="F1" s="84"/>
      <x:c r="G1" s="84"/>
      <x:c r="H1" s="84"/>
      <x:c r="I1" s="84"/>
      <x:c r="J1" s="31"/>
      <x:c r="K1" s="31"/>
      <x:c r="L1" s="31"/>
      <x:c r="M1" s="31"/>
      <x:c r="N1" s="31"/>
      <x:c r="O1" s="31"/>
    </x:row>
    <x:row r="2" ht="24" customHeight="1">
      <x:c r="A2" s="85" t="str">
        <x:v>Separate three tests: LaunchPad PWM logic, DC bus, and VSEN phase-sense nodes.</x:v>
      </x:c>
      <x:c r="B2" s="85"/>
      <x:c r="C2" s="85"/>
      <x:c r="D2" s="85"/>
      <x:c r="E2" s="85"/>
      <x:c r="F2" s="85"/>
      <x:c r="G2" s="85"/>
      <x:c r="H2" s="85"/>
      <x:c r="I2" s="85"/>
      <x:c r="J2" s="31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90" t="str">
        <x:v>Measurement</x:v>
      </x:c>
      <x:c r="B4" s="90" t="str">
        <x:v>Probe type</x:v>
      </x:c>
      <x:c r="C4" s="90" t="str">
        <x:v>Probe tip</x:v>
      </x:c>
      <x:c r="D4" s="90" t="str">
        <x:v>Probe reference / ground</x:v>
      </x:c>
      <x:c r="E4" s="90" t="str">
        <x:v>Expected range</x:v>
      </x:c>
      <x:c r="F4" s="90" t="str">
        <x:v>Purpose</x:v>
      </x:c>
      <x:c r="G4" s="90" t="str">
        <x:v>Notes</x:v>
      </x:c>
      <x:c r="H4" s="31"/>
      <x:c r="I4" s="31"/>
      <x:c r="J4" s="31"/>
      <x:c r="K4" s="31"/>
      <x:c r="L4" s="31"/>
      <x:c r="M4" s="31"/>
      <x:c r="N4" s="31"/>
      <x:c r="O4" s="31"/>
    </x:row>
    <x:row r="5">
      <x:c r="A5" s="45" t="str">
        <x:v>LaunchPad PWM demo</x:v>
      </x:c>
      <x:c r="B5" s="31" t="str">
        <x:v>Regular 10x passive probe</x:v>
      </x:c>
      <x:c r="C5" s="31" t="str">
        <x:v>LaunchPad J4 pin 40 / GPIO0 / ePWM1A</x:v>
      </x:c>
      <x:c r="D5" s="31" t="str">
        <x:v>LaunchPad GND such as J2 pin 20</x:v>
      </x:c>
      <x:c r="E5" s="31" t="str">
        <x:v>0 to 3.3 V logic PWM</x:v>
      </x:c>
      <x:c r="F5" s="31" t="str">
        <x:v>Verify Milestone 2B ePWM output only</x:v>
      </x:c>
      <x:c r="G5" s="31" t="str">
        <x:v>Remove BOOSTXL boards for the clean GPIO0/ePWM1A proof; do not confuse this with DRV8305 phase PWM input mapping.</x:v>
      </x:c>
      <x:c r="H5" s="31"/>
      <x:c r="I5" s="31"/>
      <x:c r="J5" s="31"/>
      <x:c r="K5" s="31"/>
      <x:c r="L5" s="31"/>
      <x:c r="M5" s="31"/>
      <x:c r="N5" s="31"/>
      <x:c r="O5" s="31"/>
    </x:row>
    <x:row r="6">
      <x:c r="A6" s="45" t="str">
        <x:v>DC bus on powered dyno</x:v>
      </x:c>
      <x:c r="B6" s="31" t="str">
        <x:v>Differential probe preferred</x:v>
      </x:c>
      <x:c r="C6" s="31" t="str">
        <x:v>PVDD / VM+ bus positive</x:v>
      </x:c>
      <x:c r="D6" s="31" t="str">
        <x:v>COM / GND bus negative through diff probe</x:v>
      </x:c>
      <x:c r="E6" s="31" t="str">
        <x:v>About 24 V nominal; watch for rise/spikes</x:v>
      </x:c>
      <x:c r="F6" s="31" t="str">
        <x:v>Check regen risk during load changes</x:v>
      </x:c>
      <x:c r="G6" s="31" t="str">
        <x:v>Do not use regular probe ground clip across floating/high-energy bus unless you are certain about grounding and scope safety.</x:v>
      </x:c>
      <x:c r="H6" s="31"/>
      <x:c r="I6" s="31"/>
      <x:c r="J6" s="31"/>
      <x:c r="K6" s="31"/>
      <x:c r="L6" s="31"/>
      <x:c r="M6" s="31"/>
      <x:c r="N6" s="31"/>
      <x:c r="O6" s="31"/>
    </x:row>
    <x:row r="7">
      <x:c r="A7" s="45" t="str">
        <x:v>VSEN_A/B/C phase sense</x:v>
      </x:c>
      <x:c r="B7" s="31" t="str">
        <x:v>Regular 10x passive probe</x:v>
      </x:c>
      <x:c r="C7" s="31" t="str">
        <x:v>VSEN_A, VSEN_B, or VSEN_C low-voltage sense node</x:v>
      </x:c>
      <x:c r="D7" s="31" t="str">
        <x:v>BOOSTXL/LaunchPad GND</x:v>
      </x:c>
      <x:c r="E7" s="31" t="str">
        <x:v>0 to about 1.79 V for 24 V bus</x:v>
      </x:c>
      <x:c r="F7" s="31" t="str">
        <x:v>Verify divider/filter output</x:v>
      </x:c>
      <x:c r="G7" s="31" t="str">
        <x:v>These are filtered phase-to-GND sense nodes, not phase-to-phase.</x:v>
      </x:c>
      <x:c r="H7" s="31"/>
      <x:c r="I7" s="31"/>
      <x:c r="J7" s="31"/>
      <x:c r="K7" s="31"/>
      <x:c r="L7" s="31"/>
      <x:c r="M7" s="31"/>
      <x:c r="N7" s="31"/>
      <x:c r="O7" s="31"/>
    </x:row>
    <x:row r="8">
      <x:c r="A8" s="45" t="str">
        <x:v>Motor phase terminal</x:v>
      </x:c>
      <x:c r="B8" s="31" t="str">
        <x:v>Differential probe strongly preferred</x:v>
      </x:c>
      <x:c r="C8" s="31" t="str">
        <x:v>MOT_A/B/C terminal</x:v>
      </x:c>
      <x:c r="D8" s="31" t="str">
        <x:v>Appropriate phase/bus reference through diff probe</x:v>
      </x:c>
      <x:c r="E8" s="31" t="str">
        <x:v>Switching waveform up to bus voltage with spikes</x:v>
      </x:c>
      <x:c r="F8" s="31" t="str">
        <x:v>Power-stage waveform diagnosis only</x:v>
      </x:c>
      <x:c r="G8" s="31" t="str">
        <x:v>Instructor/debug only; not needed for student lab pass/fail.</x:v>
      </x:c>
      <x:c r="H8" s="31"/>
      <x:c r="I8" s="31"/>
      <x:c r="J8" s="31"/>
      <x:c r="K8" s="31"/>
      <x:c r="L8" s="31"/>
      <x:c r="M8" s="31"/>
      <x:c r="N8" s="31"/>
      <x:c r="O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36" hidden="0" customWidth="1"/>
    <x:col min="12" max="12" width="58" hidden="0" customWidth="1"/>
    <x:col min="13" max="13" width="32" hidden="0" customWidth="1"/>
    <x:col min="14" max="14" width="24" hidden="0" customWidth="1"/>
    <x:col min="15" max="15" width="40" hidden="0" customWidth="1"/>
  </x:cols>
  <x:sheetData>
    <x:row r="1" ht="28" customHeight="1">
      <x:c r="A1" s="84" t="str">
        <x:v>Victor / Station DC Bus Test Log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31"/>
      <x:c r="O1" s="31"/>
    </x:row>
    <x:row r="2" ht="24" customHeight="1">
      <x:c r="A2" s="85" t="str">
        <x:v>Fill this in once Victor scopes the DC bus during Lab 1 or Lab 3.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86" t="str">
        <x:v>Station</x:v>
      </x:c>
      <x:c r="B4" s="86" t="str">
        <x:v>Date</x:v>
      </x:c>
      <x:c r="C4" s="86" t="str">
        <x:v>Operator</x:v>
      </x:c>
      <x:c r="D4" s="86" t="str">
        <x:v>Lab</x:v>
      </x:c>
      <x:c r="E4" s="86" t="str">
        <x:v>PSU setpoint (V)</x:v>
      </x:c>
      <x:c r="F4" s="86" t="str">
        <x:v>Idle Vbus (V)</x:v>
      </x:c>
      <x:c r="G4" s="86" t="str">
        <x:v>Vbus RMS (V)</x:v>
      </x:c>
      <x:c r="H4" s="86" t="str">
        <x:v>Vbus max (V)</x:v>
      </x:c>
      <x:c r="I4" s="86" t="str">
        <x:v>Vbus min (V)</x:v>
      </x:c>
      <x:c r="J4" s="86" t="str">
        <x:v>Scope timebase</x:v>
      </x:c>
      <x:c r="K4" s="86" t="str">
        <x:v>Load command / profile</x:v>
      </x:c>
      <x:c r="L4" s="86" t="str">
        <x:v>Waveform notes</x:v>
      </x:c>
      <x:c r="M4" s="86" t="str">
        <x:v>Screenshot path</x:v>
      </x:c>
      <x:c r="N4" s="86" t="str">
        <x:v>Classification</x:v>
      </x:c>
      <x:c r="O4" s="86" t="str">
        <x:v>Follow-up</x:v>
      </x:c>
    </x:row>
    <x:row r="5">
      <x:c r="A5" s="31" t="str">
        <x:v>Station 1</x:v>
      </x:c>
      <x:c r="B5" s="70" t="str"/>
      <x:c r="C5" s="31" t="str"/>
      <x:c r="D5" s="31" t="str"/>
      <x:c r="E5" s="72" t="n">
        <x:v>24</x:v>
      </x:c>
      <x:c r="F5" s="72" t="str"/>
      <x:c r="G5" s="72" t="str"/>
      <x:c r="H5" s="72" t="str"/>
      <x:c r="I5" s="72" t="str"/>
      <x:c r="J5" s="31" t="str"/>
      <x:c r="K5" s="31" t="str"/>
      <x:c r="L5" s="31" t="str"/>
      <x:c r="M5" s="31" t="str"/>
      <x:c r="N5" s="31" t="str"/>
      <x:c r="O5" s="31" t="str"/>
    </x:row>
    <x:row r="6">
      <x:c r="A6" s="31" t="str">
        <x:v>Station 2</x:v>
      </x:c>
      <x:c r="B6" s="70" t="str"/>
      <x:c r="C6" s="31" t="str"/>
      <x:c r="D6" s="31" t="str"/>
      <x:c r="E6" s="72" t="n">
        <x:v>24</x:v>
      </x:c>
      <x:c r="F6" s="72" t="str"/>
      <x:c r="G6" s="72" t="str"/>
      <x:c r="H6" s="72" t="str"/>
      <x:c r="I6" s="72" t="str"/>
      <x:c r="J6" s="31" t="str"/>
      <x:c r="K6" s="31" t="str"/>
      <x:c r="L6" s="31" t="str"/>
      <x:c r="M6" s="31" t="str"/>
      <x:c r="N6" s="31" t="str"/>
      <x:c r="O6" s="31" t="str"/>
    </x:row>
    <x:row r="7">
      <x:c r="A7" s="31" t="str">
        <x:v>Station 3</x:v>
      </x:c>
      <x:c r="B7" s="70" t="str"/>
      <x:c r="C7" s="31" t="str"/>
      <x:c r="D7" s="31" t="str"/>
      <x:c r="E7" s="72" t="n">
        <x:v>24</x:v>
      </x:c>
      <x:c r="F7" s="72" t="str"/>
      <x:c r="G7" s="72" t="str"/>
      <x:c r="H7" s="72" t="str"/>
      <x:c r="I7" s="72" t="str"/>
      <x:c r="J7" s="31" t="str"/>
      <x:c r="K7" s="31" t="str"/>
      <x:c r="L7" s="31" t="str"/>
      <x:c r="M7" s="31" t="str"/>
      <x:c r="N7" s="31" t="str"/>
      <x:c r="O7" s="31" t="str"/>
    </x:row>
    <x:row r="8">
      <x:c r="A8" s="31" t="str">
        <x:v>Station 4</x:v>
      </x:c>
      <x:c r="B8" s="70" t="str"/>
      <x:c r="C8" s="31" t="str"/>
      <x:c r="D8" s="31" t="str"/>
      <x:c r="E8" s="72" t="n">
        <x:v>24</x:v>
      </x:c>
      <x:c r="F8" s="72" t="str"/>
      <x:c r="G8" s="72" t="str"/>
      <x:c r="H8" s="72" t="str"/>
      <x:c r="I8" s="72" t="str"/>
      <x:c r="J8" s="31" t="str"/>
      <x:c r="K8" s="31" t="str"/>
      <x:c r="L8" s="31" t="str"/>
      <x:c r="M8" s="31" t="str"/>
      <x:c r="N8" s="31" t="str"/>
      <x:c r="O8" s="31" t="str"/>
    </x:row>
    <x:row r="9">
      <x:c r="A9" s="31" t="str">
        <x:v>Station 5</x:v>
      </x:c>
      <x:c r="B9" s="70" t="str"/>
      <x:c r="C9" s="31" t="str"/>
      <x:c r="D9" s="31" t="str"/>
      <x:c r="E9" s="72" t="n">
        <x:v>24</x:v>
      </x:c>
      <x:c r="F9" s="72" t="str"/>
      <x:c r="G9" s="72" t="str"/>
      <x:c r="H9" s="72" t="str"/>
      <x:c r="I9" s="72" t="str"/>
      <x:c r="J9" s="31" t="str"/>
      <x:c r="K9" s="31" t="str"/>
      <x:c r="L9" s="31" t="str"/>
      <x:c r="M9" s="31" t="str"/>
      <x:c r="N9" s="31" t="str"/>
      <x:c r="O9" s="31" t="str"/>
    </x:row>
    <x:row r="10">
      <x:c r="A10" s="31" t="str">
        <x:v>Station 6</x:v>
      </x:c>
      <x:c r="B10" s="70" t="str"/>
      <x:c r="C10" s="31" t="str"/>
      <x:c r="D10" s="31" t="str"/>
      <x:c r="E10" s="72" t="n">
        <x:v>24</x:v>
      </x:c>
      <x:c r="F10" s="72" t="str"/>
      <x:c r="G10" s="72" t="str"/>
      <x:c r="H10" s="72" t="str"/>
      <x:c r="I10" s="72" t="str"/>
      <x:c r="J10" s="31" t="str"/>
      <x:c r="K10" s="31" t="str"/>
      <x:c r="L10" s="31" t="str"/>
      <x:c r="M10" s="31" t="str"/>
      <x:c r="N10" s="31" t="str"/>
      <x:c r="O10" s="31" t="str"/>
    </x:row>
    <x:row r="11">
      <x:c r="A11" s="31" t="str"/>
      <x:c r="B11" s="70" t="str"/>
      <x:c r="C11" s="31" t="str"/>
      <x:c r="D11" s="31" t="str"/>
      <x:c r="E11" s="72" t="n">
        <x:v>24</x:v>
      </x:c>
      <x:c r="F11" s="72" t="str"/>
      <x:c r="G11" s="72" t="str"/>
      <x:c r="H11" s="72" t="str"/>
      <x:c r="I11" s="72" t="str"/>
      <x:c r="J11" s="31" t="str"/>
      <x:c r="K11" s="31" t="str"/>
      <x:c r="L11" s="31" t="str"/>
      <x:c r="M11" s="31" t="str"/>
      <x:c r="N11" s="31" t="str"/>
      <x:c r="O11" s="31" t="str"/>
    </x:row>
    <x:row r="12">
      <x:c r="A12" s="31" t="str"/>
      <x:c r="B12" s="70" t="str"/>
      <x:c r="C12" s="31" t="str"/>
      <x:c r="D12" s="31" t="str"/>
      <x:c r="E12" s="72" t="n">
        <x:v>24</x:v>
      </x:c>
      <x:c r="F12" s="72" t="str"/>
      <x:c r="G12" s="72" t="str"/>
      <x:c r="H12" s="72" t="str"/>
      <x:c r="I12" s="72" t="str"/>
      <x:c r="J12" s="31" t="str"/>
      <x:c r="K12" s="31" t="str"/>
      <x:c r="L12" s="31" t="str"/>
      <x:c r="M12" s="31" t="str"/>
      <x:c r="N12" s="31" t="str"/>
      <x:c r="O12" s="31" t="str"/>
    </x:row>
    <x:row r="13">
      <x:c r="A13" s="31" t="str"/>
      <x:c r="B13" s="70" t="str"/>
      <x:c r="C13" s="31" t="str"/>
      <x:c r="D13" s="31" t="str"/>
      <x:c r="E13" s="72" t="n">
        <x:v>24</x:v>
      </x:c>
      <x:c r="F13" s="72" t="str"/>
      <x:c r="G13" s="72" t="str"/>
      <x:c r="H13" s="72" t="str"/>
      <x:c r="I13" s="72" t="str"/>
      <x:c r="J13" s="31" t="str"/>
      <x:c r="K13" s="31" t="str"/>
      <x:c r="L13" s="31" t="str"/>
      <x:c r="M13" s="31" t="str"/>
      <x:c r="N13" s="31" t="str"/>
      <x:c r="O13" s="31" t="str"/>
    </x:row>
    <x:row r="14">
      <x:c r="A14" s="31" t="str"/>
      <x:c r="B14" s="70" t="str"/>
      <x:c r="C14" s="31" t="str"/>
      <x:c r="D14" s="31" t="str"/>
      <x:c r="E14" s="72" t="n">
        <x:v>24</x:v>
      </x:c>
      <x:c r="F14" s="72" t="str"/>
      <x:c r="G14" s="72" t="str"/>
      <x:c r="H14" s="72" t="str"/>
      <x:c r="I14" s="72" t="str"/>
      <x:c r="J14" s="31" t="str"/>
      <x:c r="K14" s="31" t="str"/>
      <x:c r="L14" s="31" t="str"/>
      <x:c r="M14" s="31" t="str"/>
      <x:c r="N14" s="31" t="str"/>
      <x:c r="O14" s="31" t="str"/>
    </x:row>
    <x:row r="15">
      <x:c r="A15" s="31" t="str"/>
      <x:c r="B15" s="70" t="str"/>
      <x:c r="C15" s="31" t="str"/>
      <x:c r="D15" s="31" t="str"/>
      <x:c r="E15" s="72" t="n">
        <x:v>24</x:v>
      </x:c>
      <x:c r="F15" s="72" t="str"/>
      <x:c r="G15" s="72" t="str"/>
      <x:c r="H15" s="72" t="str"/>
      <x:c r="I15" s="72" t="str"/>
      <x:c r="J15" s="31" t="str"/>
      <x:c r="K15" s="31" t="str"/>
      <x:c r="L15" s="31" t="str"/>
      <x:c r="M15" s="31" t="str"/>
      <x:c r="N15" s="31" t="str"/>
      <x:c r="O15" s="31" t="str"/>
    </x:row>
    <x:row r="16">
      <x:c r="A16" s="31" t="str"/>
      <x:c r="B16" s="70" t="str"/>
      <x:c r="C16" s="31" t="str"/>
      <x:c r="D16" s="31" t="str"/>
      <x:c r="E16" s="72" t="n">
        <x:v>24</x:v>
      </x:c>
      <x:c r="F16" s="72" t="str"/>
      <x:c r="G16" s="72" t="str"/>
      <x:c r="H16" s="72" t="str"/>
      <x:c r="I16" s="72" t="str"/>
      <x:c r="J16" s="31" t="str"/>
      <x:c r="K16" s="31" t="str"/>
      <x:c r="L16" s="31" t="str"/>
      <x:c r="M16" s="31" t="str"/>
      <x:c r="N16" s="31" t="str"/>
      <x:c r="O16" s="31" t="str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M1"/>
    <x:mergeCell ref="A2:M2"/>
  </x:mergeCells>
  <x:conditionalFormatting sqref="H5:H16">
    <x:cfRule type="cellIs" dxfId="0" priority="1" operator="greaterThan">
      <x:formula>32</x:formula>
    </x:cfRule>
    <x:cfRule type="cellIs" dxfId="1" priority="2" operator="between">
      <x:formula>28</x:formula>
    </x:cfRule>
    <x:cfRule type="cellIs" dxfId="2" priority="3" operator="lessThanOrEqual">
      <x:formula>26</x:formula>
    </x:cfRule>
  </x:conditionalFormatting>
  <x:dataValidations count="2">
    <x:dataValidation type="list" sqref="N5:N16">
      <x:formula1>"OK,Watch,Reduce Load,Stop / Hardware Needed,Retest"</x:formula1>
    </x:dataValidation>
    <x:dataValidation type="list" sqref="D5:D16">
      <x:formula1>"Lab 1,Lab 3,Conservative Lab 1,Worst Normal Lab 1,Other"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6" hidden="0" customWidth="1"/>
    <x:col min="4" max="4" width="20" hidden="0" customWidth="1"/>
    <x:col min="5" max="5" width="18" hidden="0" customWidth="1"/>
    <x:col min="6" max="6" width="24" hidden="0" customWidth="1"/>
    <x:col min="7" max="7" width="54" hidden="0" customWidth="1"/>
  </x:cols>
  <x:sheetData>
    <x:row r="1" ht="28" customHeight="1">
      <x:c r="A1" s="84" t="str">
        <x:v>Decision Matrix After Victor Reports Back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31"/>
      <x:c r="L1" s="31"/>
      <x:c r="M1" s="31"/>
      <x:c r="N1" s="31"/>
      <x:c r="O1" s="31"/>
    </x:row>
    <x:row r="2" ht="24" customHeight="1">
      <x:c r="A2" s="85" t="str">
        <x:v>Classify the bus behavior before scaling to six stations.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90" t="str">
        <x:v>Measured Vbus behavior</x:v>
      </x:c>
      <x:c r="B4" s="90" t="str">
        <x:v>Example result</x:v>
      </x:c>
      <x:c r="C4" s="90" t="str">
        <x:v>Classification</x:v>
      </x:c>
      <x:c r="D4" s="90" t="str">
        <x:v>Immediate action</x:v>
      </x:c>
      <x:c r="E4" s="90" t="str">
        <x:v>Next validation</x:v>
      </x:c>
      <x:c r="F4" s="90" t="str">
        <x:v>Six-station implication</x:v>
      </x:c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45" t="str">
        <x:v>Normal / flat</x:v>
      </x:c>
      <x:c r="B5" s="31" t="str">
        <x:v>Idle near 24 V, max &lt;= 26 V, no significant spikes</x:v>
      </x:c>
      <x:c r="C5" s="75" t="str">
        <x:v>OK</x:v>
      </x:c>
      <x:c r="D5" s="31" t="str">
        <x:v>Save evidence and mark Lab 1 DC bus check PASS for that station.</x:v>
      </x:c>
      <x:c r="E5" s="31" t="str">
        <x:v>Repeat on one more station and maybe at worst normal Lab 1 load.</x:v>
      </x:c>
      <x:c r="F5" s="31" t="str">
        <x:v>Proceed with conservative lab procedure.</x:v>
      </x:c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45" t="str">
        <x:v>Mild rise</x:v>
      </x:c>
      <x:c r="B6" s="31" t="str">
        <x:v>26 to 28 V during load changes</x:v>
      </x:c>
      <x:c r="C6" s="75" t="str">
        <x:v>Watch</x:v>
      </x:c>
      <x:c r="D6" s="31" t="str">
        <x:v>Document waveform and keep load/ramp conservative.</x:v>
      </x:c>
      <x:c r="E6" s="31" t="str">
        <x:v>Retest with same station and slightly varied load profile.</x:v>
      </x:c>
      <x:c r="F6" s="31" t="str">
        <x:v>Probably OK with limits and monitoring.</x:v>
      </x:c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45" t="str">
        <x:v>Moderate rise</x:v>
      </x:c>
      <x:c r="B7" s="31" t="str">
        <x:v>28 to 30 V or obvious bumps on load transitions</x:v>
      </x:c>
      <x:c r="C7" s="75" t="str">
        <x:v>Reduce Load</x:v>
      </x:c>
      <x:c r="D7" s="31" t="str">
        <x:v>Lower Motor 2 load/current, add ramp-rate limits, avoid reversals.</x:v>
      </x:c>
      <x:c r="E7" s="31" t="str">
        <x:v>Retest immediately after changing software limits.</x:v>
      </x:c>
      <x:c r="F7" s="31" t="str">
        <x:v>Do not scale until limits are proven.</x:v>
      </x:c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45" t="str">
        <x:v>High rise</x:v>
      </x:c>
      <x:c r="B8" s="31" t="str">
        <x:v>&gt;30 V or PSU clicking/current limit behavior</x:v>
      </x:c>
      <x:c r="C8" s="75" t="str">
        <x:v>Stop / Hardware Needed</x:v>
      </x:c>
      <x:c r="D8" s="31" t="str">
        <x:v>Stop regen-heavy runs; add hardware protection/dump path or remove that operating mode.</x:v>
      </x:c>
      <x:c r="E8" s="31" t="str">
        <x:v>Test blocking/ideal diode and brake resistor/chopper approach.</x:v>
      </x:c>
      <x:c r="F8" s="31" t="str">
        <x:v>No student-wide regen operation.</x:v>
      </x:c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45" t="str">
        <x:v>Sharp spikes / ringing</x:v>
      </x:c>
      <x:c r="B9" s="31" t="str">
        <x:v>&gt;32 V, narrow spikes, ringing, or measurement ambiguity</x:v>
      </x:c>
      <x:c r="C9" s="75" t="str">
        <x:v>Stop / Investigate</x:v>
      </x:c>
      <x:c r="D9" s="31" t="str">
        <x:v>Verify probe setup and scope bandwidth/grounding, then repeat carefully.</x:v>
      </x:c>
      <x:c r="E9" s="31" t="str">
        <x:v>Use diff probe and capture trigger on Vbus threshold.</x:v>
      </x:c>
      <x:c r="F9" s="31" t="str">
        <x:v>Treat as unsafe until understood.</x:v>
      </x:c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86" t="str">
        <x:v>Option</x:v>
      </x:c>
      <x:c r="B13" s="86" t="str">
        <x:v>Description</x:v>
      </x:c>
      <x:c r="C13" s="86" t="str">
        <x:v>Protects PSU?</x:v>
      </x:c>
      <x:c r="D13" s="86" t="str">
        <x:v>Removes regen energy?</x:v>
      </x:c>
      <x:c r="E13" s="86" t="str">
        <x:v>Cost/complexity</x:v>
      </x:c>
      <x:c r="F13" s="86" t="str">
        <x:v>Use for 6 stations?</x:v>
      </x:c>
      <x:c r="G13" s="86" t="str">
        <x:v>Notes</x:v>
      </x:c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79" t="str">
        <x:v>Avoid regen via software</x:v>
      </x:c>
      <x:c r="B14" s="31" t="str">
        <x:v>Limit load commands, load reversals, and braking profiles.</x:v>
      </x:c>
      <x:c r="C14" s="31" t="str">
        <x:v>Indirectly</x:v>
      </x:c>
      <x:c r="D14" s="31" t="str">
        <x:v>No</x:v>
      </x:c>
      <x:c r="E14" s="31" t="str">
        <x:v>Low</x:v>
      </x:c>
      <x:c r="F14" s="31" t="str">
        <x:v>Yes, immediate</x:v>
      </x:c>
      <x:c r="G14" s="31" t="str">
        <x:v>Best first step for teaching lab.</x:v>
      </x:c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79" t="str">
        <x:v>Series blocking diode</x:v>
      </x:c>
      <x:c r="B15" s="31" t="str">
        <x:v>Diode between PSU and station bus to block reverse current into PSU.</x:v>
      </x:c>
      <x:c r="C15" s="31" t="str">
        <x:v>Yes</x:v>
      </x:c>
      <x:c r="D15" s="31" t="str">
        <x:v>No</x:v>
      </x:c>
      <x:c r="E15" s="31" t="str">
        <x:v>Low-medium</x:v>
      </x:c>
      <x:c r="F15" s="31" t="str">
        <x:v>Maybe</x:v>
      </x:c>
      <x:c r="G15" s="31" t="str">
        <x:v>Protects supply but bus can still rise.</x:v>
      </x:c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79" t="str">
        <x:v>Ideal diode module</x:v>
      </x:c>
      <x:c r="B16" s="31" t="str">
        <x:v>Lower-drop active equivalent of blocking diode.</x:v>
      </x:c>
      <x:c r="C16" s="31" t="str">
        <x:v>Yes</x:v>
      </x:c>
      <x:c r="D16" s="31" t="str">
        <x:v>No</x:v>
      </x:c>
      <x:c r="E16" s="31" t="str">
        <x:v>Medium</x:v>
      </x:c>
      <x:c r="F16" s="31" t="str">
        <x:v>Maybe</x:v>
      </x:c>
      <x:c r="G16" s="31" t="str">
        <x:v>Better efficiency/less heat than a simple diode.</x:v>
      </x:c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79" t="str">
        <x:v>Brake resistor/chopper</x:v>
      </x:c>
      <x:c r="B17" s="31" t="str">
        <x:v>MOSFET turns on resistor when Vbus exceeds threshold.</x:v>
      </x:c>
      <x:c r="C17" s="31" t="str">
        <x:v>Yes if paired with diode</x:v>
      </x:c>
      <x:c r="D17" s="31" t="str">
        <x:v>Yes</x:v>
      </x:c>
      <x:c r="E17" s="31" t="str">
        <x:v>Medium</x:v>
      </x:c>
      <x:c r="F17" s="31" t="str">
        <x:v>If measurements require it</x:v>
      </x:c>
      <x:c r="G17" s="31" t="str">
        <x:v>The proper way to burn regen energy as heat.</x:v>
      </x:c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79" t="str">
        <x:v>Bidirectional supply / e-load</x:v>
      </x:c>
      <x:c r="B18" s="31" t="str">
        <x:v>Supply/load can sink/regenerate current.</x:v>
      </x:c>
      <x:c r="C18" s="31" t="str">
        <x:v>Yes</x:v>
      </x:c>
      <x:c r="D18" s="31" t="str">
        <x:v>Yes</x:v>
      </x:c>
      <x:c r="E18" s="31" t="str">
        <x:v>High</x:v>
      </x:c>
      <x:c r="F18" s="31" t="str">
        <x:v>Probably not for all six</x:v>
      </x:c>
      <x:c r="G18" s="31" t="str">
        <x:v>Good research setup, overkill for course stations.</x:v>
      </x:c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79" t="str">
        <x:v>Shared bus between both motors</x:v>
      </x:c>
      <x:c r="B19" s="31" t="str">
        <x:v>Both inverters share same 24 V bus so motoring side can absorb some regenerated energy.</x:v>
      </x:c>
      <x:c r="C19" s="31" t="str">
        <x:v>No by itself</x:v>
      </x:c>
      <x:c r="D19" s="31" t="str">
        <x:v>Sometimes</x:v>
      </x:c>
      <x:c r="E19" s="31" t="str">
        <x:v>Already present / low</x:v>
      </x:c>
      <x:c r="F19" s="31" t="str">
        <x:v>Useful but insufficient alone</x:v>
      </x:c>
      <x:c r="G19" s="31" t="str">
        <x:v>Net bus can still rise when energy has nowhere to go.</x:v>
      </x:c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6" hidden="0" customWidth="1"/>
  </x:cols>
  <x:sheetData>
    <x:row r="1" ht="28" customHeight="1">
      <x:c r="A1" s="84" t="str">
        <x:v>Hardware Notes - What Is Protected and What Is Not</x:v>
      </x:c>
      <x:c r="B1" s="84"/>
      <x:c r="C1" s="84"/>
      <x:c r="D1" s="84"/>
      <x:c r="E1" s="84"/>
      <x:c r="F1" s="84"/>
      <x:c r="G1" s="84"/>
      <x:c r="H1" s="84"/>
      <x:c r="I1" s="84"/>
      <x:c r="J1" s="31"/>
      <x:c r="K1" s="31"/>
      <x:c r="L1" s="31"/>
      <x:c r="M1" s="31"/>
      <x:c r="N1" s="31"/>
      <x:c r="O1" s="31"/>
    </x:row>
    <x:row r="2" ht="24" customHeight="1">
      <x:c r="A2" s="85" t="str">
        <x:v>Engineering interpretation for the current LaunchPad + BOOSTXL dyno setup.</x:v>
      </x:c>
      <x:c r="B2" s="85"/>
      <x:c r="C2" s="85"/>
      <x:c r="D2" s="85"/>
      <x:c r="E2" s="85"/>
      <x:c r="F2" s="85"/>
      <x:c r="G2" s="85"/>
      <x:c r="H2" s="85"/>
      <x:c r="I2" s="85"/>
      <x:c r="J2" s="31"/>
      <x:c r="K2" s="31"/>
      <x:c r="L2" s="31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90" t="str">
        <x:v>Item</x:v>
      </x:c>
      <x:c r="B4" s="90" t="str">
        <x:v>What it is</x:v>
      </x:c>
      <x:c r="C4" s="90" t="str">
        <x:v>What it protects</x:v>
      </x:c>
      <x:c r="D4" s="90" t="str">
        <x:v>What it does not protect</x:v>
      </x:c>
      <x:c r="E4" s="90" t="str">
        <x:v>Relevant detail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</x:row>
    <x:row r="5">
      <x:c r="A5" s="45" t="str">
        <x:v>VSEN divider/filter</x:v>
      </x:c>
      <x:c r="B5" s="31" t="str">
        <x:v>62.0k high-side, 4.99k low-side, 0.1uF filter per motor phase.</x:v>
      </x:c>
      <x:c r="C5" s="31" t="str">
        <x:v>Low-voltage ADC/sense input from excessive phase voltage after scaling and filtering.</x:v>
      </x:c>
      <x:c r="D5" s="31" t="str">
        <x:v>Does not absorb DC bus energy, does not protect PSU from reverse current.</x:v>
      </x:c>
      <x:c r="E5" s="31" t="str">
        <x:v>Per-phase measurement is single-ended to GND.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</x:row>
    <x:row r="6">
      <x:c r="A6" s="45" t="str">
        <x:v>D2 TVS/ESD clamp</x:v>
      </x:c>
      <x:c r="B6" s="31" t="str">
        <x:v>NUP4201MR6T1G, 5 V transient voltage suppressor / clamp array.</x:v>
      </x:c>
      <x:c r="C6" s="31" t="str">
        <x:v>Low-voltage sense/control lines from ESD/transient spikes.</x:v>
      </x:c>
      <x:c r="D6" s="31" t="str">
        <x:v>Does not brake the motor or dump regen energy.</x:v>
      </x:c>
      <x:c r="E6" s="31" t="str">
        <x:v>A signal protection component, not a power component.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</x:row>
    <x:row r="7">
      <x:c r="A7" s="45" t="str">
        <x:v>DRV8305 power stage</x:v>
      </x:c>
      <x:c r="B7" s="31" t="str">
        <x:v>Three-phase gate driver and MOSFET inverter board.</x:v>
      </x:c>
      <x:c r="C7" s="31" t="str">
        <x:v>Controls motor phase switching and current paths.</x:v>
      </x:c>
      <x:c r="D7" s="31" t="str">
        <x:v>Does not guarantee safe sinking into non-regenerative PSU.</x:v>
      </x:c>
      <x:c r="E7" s="31" t="str">
        <x:v>Regeneration can push energy onto PVDD bus.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</x:row>
    <x:row r="8">
      <x:c r="A8" s="45" t="str">
        <x:v>DC bus capacitors</x:v>
      </x:c>
      <x:c r="B8" s="31" t="str">
        <x:v>Bulk/decoupling capacitance on PVDD bus.</x:v>
      </x:c>
      <x:c r="C8" s="31" t="str">
        <x:v>Short-term bus ripple/energy buffering.</x:v>
      </x:c>
      <x:c r="D8" s="31" t="str">
        <x:v>Finite energy capacity; bus voltage rises if regen exceeds load/absorption.</x:v>
      </x:c>
      <x:c r="E8" s="31" t="str">
        <x:v>Useful buffer, not a long-term dump load.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</x:row>
    <x:row r="9">
      <x:c r="A9" s="45" t="str">
        <x:v>24 V bench PSU</x:v>
      </x:c>
      <x:c r="B9" s="31" t="str">
        <x:v>Non-sinkable DC supply in the lab setup.</x:v>
      </x:c>
      <x:c r="C9" s="31" t="str">
        <x:v>Supplies motoring energy.</x:v>
      </x:c>
      <x:c r="D9" s="31" t="str">
        <x:v>May not tolerate reverse current.</x:v>
      </x:c>
      <x:c r="E9" s="31" t="str">
        <x:v>Do not assume it can absorb regen.</x:v>
      </x:c>
      <x:c r="F9" s="31"/>
      <x:c r="G9" s="31"/>
      <x:c r="H9" s="31"/>
      <x:c r="I9" s="31"/>
      <x:c r="J9" s="31"/>
      <x:c r="K9" s="31"/>
      <x:c r="L9" s="31"/>
      <x:c r="M9" s="31"/>
      <x:c r="N9" s="31"/>
      <x:c r="O9" s="31"/>
    </x:row>
    <x:row r="10">
      <x:c r="A10" s="45" t="str">
        <x:v>Brake resistor/chopper</x:v>
      </x:c>
      <x:c r="B10" s="31" t="str">
        <x:v>External MOSFET + resistor triggered by Vbus threshold.</x:v>
      </x:c>
      <x:c r="C10" s="31" t="str">
        <x:v>Provides real path for regen energy.</x:v>
      </x:c>
      <x:c r="D10" s="31" t="str">
        <x:v>Must be sized and thermally protected.</x:v>
      </x:c>
      <x:c r="E10" s="31" t="str">
        <x:v>Recommended only if measurements prove need.</x:v>
      </x:c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</x:row>
  </x:sheetData>
  <x:mergeCells>
    <x:mergeCell ref="A1:I1"/>
    <x:mergeCell ref="A2:I2"/>
  </x:mergeCells>
  <x:pageMargins left="0.7" right="0.7" top="0.75" bottom="0.75" header="0.3" footer="0.3"/>
</x:worksheet>
</file>